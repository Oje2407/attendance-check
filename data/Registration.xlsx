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All Data" sheetId="1" r:id="rId1"/>
    <sheet name="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 rightToLeft="0"/>
  </sheetViews>
  <sheetData>
    <row r="1">
      <c r="A1" t="str">
        <v>Title</v>
      </c>
      <c r="B1" t="str">
        <v>First Name</v>
      </c>
      <c r="C1" t="str">
        <v>Last name</v>
      </c>
      <c r="D1" t="str">
        <v>Email Address</v>
      </c>
      <c r="E1" t="str">
        <v>Phone Number</v>
      </c>
      <c r="F1" t="str">
        <v>Attendance</v>
      </c>
      <c r="G1" t="str">
        <v>Attendance Time</v>
      </c>
    </row>
    <row r="2">
      <c r="A2" t="str">
        <v>Pastor</v>
      </c>
      <c r="B2" t="str">
        <v>Catherine Olayinka</v>
      </c>
      <c r="C2" t="str">
        <v>Adepoju</v>
      </c>
      <c r="D2" t="str">
        <v>catherineolayinka@gmail.com</v>
      </c>
      <c r="E2">
        <v>353860282795</v>
      </c>
      <c r="F2" t="str">
        <v/>
      </c>
      <c r="G2" t="str">
        <v/>
      </c>
    </row>
    <row r="3">
      <c r="A3" t="str">
        <v>Pastor</v>
      </c>
      <c r="B3" t="str">
        <v>Francis Adewale</v>
      </c>
      <c r="C3" t="str">
        <v>Adepoju</v>
      </c>
      <c r="D3" t="str">
        <v>francis.adepoju@gmail.com</v>
      </c>
      <c r="E3">
        <v>353873534039</v>
      </c>
      <c r="F3" t="str">
        <v/>
      </c>
      <c r="G3" t="str">
        <v/>
      </c>
    </row>
    <row r="4">
      <c r="A4" t="str">
        <v>Pastor</v>
      </c>
      <c r="B4" t="str">
        <v>Catherine Olayinka (UPDATED)</v>
      </c>
      <c r="C4" t="str">
        <v>Adepoju</v>
      </c>
      <c r="D4" t="str">
        <v>catherineolayinka@gmail.com</v>
      </c>
      <c r="E4">
        <v>353860282795</v>
      </c>
      <c r="F4" t="str">
        <v/>
      </c>
      <c r="G4" t="str">
        <v/>
      </c>
    </row>
    <row r="5">
      <c r="A5" t="str">
        <v>Pastor</v>
      </c>
      <c r="B5" t="str">
        <v>Mary</v>
      </c>
      <c r="C5" t="str">
        <v>Idahosa</v>
      </c>
      <c r="D5" t="str">
        <v>maryidahosa0@gmail.com</v>
      </c>
      <c r="E5">
        <v>2348024708302</v>
      </c>
      <c r="F5" t="str">
        <v/>
      </c>
      <c r="G5" t="str">
        <v/>
      </c>
    </row>
    <row r="6">
      <c r="A6" t="str">
        <v>Deaconess</v>
      </c>
      <c r="B6" t="str">
        <v>Toyosi</v>
      </c>
      <c r="C6" t="str">
        <v>Giwa</v>
      </c>
      <c r="D6" t="str">
        <v>Yomiajose@yahoo.com</v>
      </c>
      <c r="E6">
        <v>353876130319</v>
      </c>
      <c r="F6" t="str">
        <v/>
      </c>
      <c r="G6" t="str">
        <v/>
      </c>
    </row>
    <row r="7">
      <c r="A7" t="str">
        <v>Brother</v>
      </c>
      <c r="B7" t="str">
        <v>Olakunle</v>
      </c>
      <c r="C7" t="str">
        <v>Oso</v>
      </c>
      <c r="D7" t="str">
        <v>olakunleoso@yahoo.com</v>
      </c>
      <c r="E7">
        <v>2347062021146</v>
      </c>
      <c r="F7" t="str">
        <v/>
      </c>
      <c r="G7" t="str">
        <v/>
      </c>
    </row>
    <row r="8">
      <c r="A8" t="str">
        <v>Deaconess</v>
      </c>
      <c r="B8" t="str">
        <v>Olubukola</v>
      </c>
      <c r="C8" t="str">
        <v>Oguntuase</v>
      </c>
      <c r="D8" t="str">
        <v>bukola_@hotmail.com</v>
      </c>
      <c r="E8">
        <v>353899503796</v>
      </c>
      <c r="F8" t="str">
        <v/>
      </c>
      <c r="G8" t="str">
        <v/>
      </c>
    </row>
    <row r="9">
      <c r="A9" t="str">
        <v>Sister</v>
      </c>
      <c r="B9" t="str">
        <v>Robinah</v>
      </c>
      <c r="C9" t="str">
        <v>Laker</v>
      </c>
      <c r="D9" t="str">
        <v>lakerobinah@gmail.com</v>
      </c>
      <c r="E9">
        <v>447833715511</v>
      </c>
      <c r="F9" t="str">
        <v/>
      </c>
      <c r="G9" t="str">
        <v/>
      </c>
    </row>
    <row r="10">
      <c r="A10" t="str">
        <v>Deaconess</v>
      </c>
      <c r="B10" t="str">
        <v>Julianah</v>
      </c>
      <c r="C10" t="str">
        <v>Agunbiade</v>
      </c>
      <c r="D10" t="str">
        <v>julianahagunbiade@yahoo.com</v>
      </c>
      <c r="E10">
        <v>2348064773662</v>
      </c>
      <c r="F10" t="str">
        <v/>
      </c>
      <c r="G10" t="str">
        <v/>
      </c>
    </row>
    <row r="11">
      <c r="A11" t="str">
        <v>Sister</v>
      </c>
      <c r="B11" t="str">
        <v>NGOZI</v>
      </c>
      <c r="C11" t="str">
        <v>ASUQUO-NYONG</v>
      </c>
      <c r="D11" t="str">
        <v>ngobabyy2k5@yahoo.com</v>
      </c>
      <c r="E11">
        <v>23480231316571</v>
      </c>
      <c r="F11" t="str">
        <v/>
      </c>
      <c r="G11" t="str">
        <v/>
      </c>
    </row>
    <row r="12">
      <c r="A12" t="str">
        <v>Pastor</v>
      </c>
      <c r="B12" t="str">
        <v>Olubunmi</v>
      </c>
      <c r="C12" t="str">
        <v>Dapo-Sokan</v>
      </c>
      <c r="D12" t="str">
        <v>bunmidee@yahoo.com</v>
      </c>
      <c r="E12">
        <v>2348023070176</v>
      </c>
      <c r="F12" t="str">
        <v/>
      </c>
      <c r="G12" t="str">
        <v/>
      </c>
    </row>
    <row r="13">
      <c r="A13" t="str">
        <v>Sister</v>
      </c>
      <c r="B13" t="str">
        <v>Grace</v>
      </c>
      <c r="C13" t="str">
        <v>Oguntuase</v>
      </c>
      <c r="D13" t="str">
        <v>Graceoguntuase840@gmail.com</v>
      </c>
      <c r="E13">
        <v>353892294306</v>
      </c>
      <c r="F13" t="str">
        <v/>
      </c>
      <c r="G13" t="str">
        <v/>
      </c>
    </row>
    <row r="14">
      <c r="A14" t="str">
        <v>Pastor</v>
      </c>
      <c r="B14" t="str">
        <v>KOLA</v>
      </c>
      <c r="C14" t="str">
        <v>OGUNTUASE</v>
      </c>
      <c r="D14" t="str">
        <v>kolaoguntuase@yahoo.com</v>
      </c>
      <c r="E14">
        <v>353879165902</v>
      </c>
      <c r="F14" t="str">
        <v>Yes</v>
      </c>
      <c r="G14" t="str">
        <v>2026-02-23T11:55:02.223Z</v>
      </c>
    </row>
    <row r="15">
      <c r="A15" t="str">
        <v>Pastor</v>
      </c>
      <c r="B15" t="str">
        <v>Iyabo</v>
      </c>
      <c r="C15" t="str">
        <v>Matthew</v>
      </c>
      <c r="D15" t="str">
        <v>iyabomatthew@hotmail.com</v>
      </c>
      <c r="E15">
        <v>353872458842</v>
      </c>
      <c r="F15" t="str">
        <v/>
      </c>
      <c r="G15" t="str">
        <v/>
      </c>
    </row>
    <row r="16">
      <c r="A16" t="str">
        <v>Pastor</v>
      </c>
      <c r="B16" t="str">
        <v>TAIWO</v>
      </c>
      <c r="C16" t="str">
        <v>MATTHEW</v>
      </c>
      <c r="D16" t="str">
        <v>taiwomatthew@hotmail.com</v>
      </c>
      <c r="E16">
        <v>353868248144</v>
      </c>
      <c r="F16" t="str">
        <v/>
      </c>
      <c r="G16" t="str">
        <v/>
      </c>
    </row>
    <row r="17">
      <c r="A17" t="str">
        <v>Deaconess</v>
      </c>
      <c r="B17" t="str">
        <v>Olubukola</v>
      </c>
      <c r="C17" t="str">
        <v>Oguntuase</v>
      </c>
      <c r="D17" t="str">
        <v>bukola_@hotmail.com</v>
      </c>
      <c r="E17">
        <v>353899503796</v>
      </c>
      <c r="F17" t="str">
        <v/>
      </c>
      <c r="G17" t="str">
        <v/>
      </c>
    </row>
    <row r="18">
      <c r="A18" t="str">
        <v>Pastor</v>
      </c>
      <c r="B18" t="str">
        <v>ADEDAPO</v>
      </c>
      <c r="C18" t="str">
        <v>ADEDAPO-SOKAN</v>
      </c>
      <c r="D18" t="str">
        <v>daposokan@gmail.com</v>
      </c>
      <c r="E18">
        <v>2348033465297</v>
      </c>
      <c r="F18" t="str">
        <v/>
      </c>
      <c r="G18" t="str">
        <v/>
      </c>
    </row>
    <row r="19">
      <c r="A19" t="str">
        <v>Brother</v>
      </c>
      <c r="B19" t="str">
        <v>John</v>
      </c>
      <c r="C19" t="str">
        <v>Oguntuase</v>
      </c>
      <c r="D19" t="str">
        <v>jojoba644030@gmail.com</v>
      </c>
      <c r="E19">
        <v>353899601438</v>
      </c>
      <c r="F19" t="str">
        <v/>
      </c>
      <c r="G19" t="str">
        <v/>
      </c>
    </row>
    <row r="20">
      <c r="A20" t="str">
        <v>Deaconess</v>
      </c>
      <c r="B20" t="str">
        <v>Olubukola</v>
      </c>
      <c r="C20" t="str">
        <v>Oguntuase</v>
      </c>
      <c r="D20" t="str">
        <v>bukola_@hotmail.com</v>
      </c>
      <c r="E20">
        <v>353899503796</v>
      </c>
      <c r="F20" t="str">
        <v/>
      </c>
      <c r="G20" t="str">
        <v/>
      </c>
    </row>
    <row r="21">
      <c r="A21" t="str">
        <v>Elder</v>
      </c>
      <c r="B21" t="str">
        <v>Kingsley</v>
      </c>
      <c r="C21" t="str">
        <v>Ogbebor</v>
      </c>
      <c r="D21" t="str">
        <v>Kingogbebor@yahoo.com</v>
      </c>
      <c r="E21">
        <v>4915233765771</v>
      </c>
      <c r="F21" t="str">
        <v/>
      </c>
      <c r="G21" t="str">
        <v/>
      </c>
    </row>
    <row r="22">
      <c r="A22" t="str">
        <v>Sister</v>
      </c>
      <c r="B22" t="str">
        <v>Yasmin</v>
      </c>
      <c r="C22" t="str">
        <v>Babalola</v>
      </c>
      <c r="D22" t="str">
        <v>Yasminbabalola@gmail.com</v>
      </c>
      <c r="E22">
        <v>4915568346462</v>
      </c>
      <c r="F22" t="str">
        <v/>
      </c>
      <c r="G22" t="str">
        <v/>
      </c>
    </row>
    <row r="23">
      <c r="A23" t="str">
        <v>Deaconess</v>
      </c>
      <c r="B23" t="str">
        <v>Linda</v>
      </c>
      <c r="C23" t="str">
        <v>Msusa Bako</v>
      </c>
      <c r="D23" t="str">
        <v>lmsusa80@hotmail.com</v>
      </c>
      <c r="E23">
        <v>447391584004</v>
      </c>
      <c r="F23" t="str">
        <v/>
      </c>
      <c r="G23" t="str">
        <v/>
      </c>
    </row>
    <row r="24">
      <c r="A24" t="str">
        <v>Deaconess</v>
      </c>
      <c r="B24" t="str">
        <v>Choungu</v>
      </c>
      <c r="C24" t="str">
        <v>Nyiombo. Kabari</v>
      </c>
      <c r="D24" t="str">
        <v>chounngukabary@gmail.com</v>
      </c>
      <c r="E24">
        <v>447516716902</v>
      </c>
      <c r="F24" t="str">
        <v/>
      </c>
      <c r="G24" t="str">
        <v/>
      </c>
    </row>
    <row r="25">
      <c r="A25" t="str">
        <v>Sister</v>
      </c>
      <c r="B25" t="str">
        <v>EDNA</v>
      </c>
      <c r="C25" t="str">
        <v>OBAKPOLOR</v>
      </c>
      <c r="D25" t="str">
        <v>ediebest10@yahoo.co.uk</v>
      </c>
      <c r="E25">
        <v>447886383244</v>
      </c>
      <c r="F25" t="str">
        <v/>
      </c>
      <c r="G25" t="str">
        <v/>
      </c>
    </row>
    <row r="26">
      <c r="A26" t="str">
        <v>Deaconess</v>
      </c>
      <c r="B26" t="str">
        <v>Choungu</v>
      </c>
      <c r="C26" t="str">
        <v>Kabari</v>
      </c>
      <c r="D26" t="str">
        <v>chounngukabary@gmail.com</v>
      </c>
      <c r="E26">
        <v>447516716902</v>
      </c>
      <c r="F26" t="str">
        <v/>
      </c>
      <c r="G26" t="str">
        <v/>
      </c>
    </row>
    <row r="27">
      <c r="A27" t="str">
        <v>Deaconess</v>
      </c>
      <c r="B27" t="str">
        <v>Choungu</v>
      </c>
      <c r="C27" t="str">
        <v>Kabari</v>
      </c>
      <c r="D27" t="str">
        <v>chounngukabary@gmail.com</v>
      </c>
      <c r="E27">
        <v>447516716902</v>
      </c>
      <c r="F27" t="str">
        <v/>
      </c>
      <c r="G27" t="str">
        <v/>
      </c>
    </row>
    <row r="28">
      <c r="A28" t="str">
        <v>Brother</v>
      </c>
      <c r="B28" t="str">
        <v>Batuna</v>
      </c>
      <c r="C28" t="str">
        <v>Mayaya</v>
      </c>
      <c r="D28" t="str">
        <v>yabatuna@gmail.com</v>
      </c>
      <c r="E28">
        <v>447745871490</v>
      </c>
      <c r="F28" t="str">
        <v/>
      </c>
      <c r="G28" t="str">
        <v/>
      </c>
    </row>
    <row r="29">
      <c r="A29" t="str">
        <v>Brother</v>
      </c>
      <c r="B29" t="str">
        <v>Dwayne</v>
      </c>
      <c r="C29" t="str">
        <v>Bako</v>
      </c>
      <c r="D29" t="str">
        <v>dwynebako@gmail.com</v>
      </c>
      <c r="E29">
        <v>447488372536</v>
      </c>
      <c r="F29" t="str">
        <v/>
      </c>
      <c r="G29" t="str">
        <v/>
      </c>
    </row>
    <row r="30">
      <c r="A30" t="str">
        <v>Deaconess</v>
      </c>
      <c r="B30" t="str">
        <v>Linda</v>
      </c>
      <c r="C30" t="str">
        <v>Mbongo</v>
      </c>
      <c r="D30" t="str">
        <v>lindadelondres@hotmail.com</v>
      </c>
      <c r="E30">
        <v>447949890714</v>
      </c>
      <c r="F30" t="str">
        <v/>
      </c>
      <c r="G30" t="str">
        <v/>
      </c>
    </row>
    <row r="31">
      <c r="A31" t="str">
        <v>Brother</v>
      </c>
      <c r="B31" t="str">
        <v>Shayne</v>
      </c>
      <c r="C31" t="str">
        <v>Mbongo</v>
      </c>
      <c r="D31" t="str">
        <v>lindadelondres@hotmail.com</v>
      </c>
      <c r="E31">
        <v>447949890714</v>
      </c>
      <c r="F31" t="str">
        <v/>
      </c>
      <c r="G31" t="str">
        <v/>
      </c>
    </row>
    <row r="32">
      <c r="A32" t="str">
        <v>Sister</v>
      </c>
      <c r="B32" t="str">
        <v>Leslie</v>
      </c>
      <c r="C32" t="str">
        <v>Nkouamen</v>
      </c>
      <c r="D32" t="str">
        <v>nleslymarlene@yahoo.fr</v>
      </c>
      <c r="E32">
        <v>447866410097</v>
      </c>
      <c r="F32" t="str">
        <v/>
      </c>
      <c r="G32" t="str">
        <v/>
      </c>
    </row>
    <row r="33">
      <c r="A33" t="str">
        <v>Sister</v>
      </c>
      <c r="B33" t="str">
        <v>Alexia</v>
      </c>
      <c r="C33" t="str">
        <v>Mbongo</v>
      </c>
      <c r="D33" t="str">
        <v>lindadelondres@hotmail.com</v>
      </c>
      <c r="E33">
        <v>447949890714</v>
      </c>
      <c r="F33" t="str">
        <v/>
      </c>
      <c r="G33" t="str">
        <v/>
      </c>
    </row>
    <row r="34">
      <c r="A34" t="str">
        <v>Sister</v>
      </c>
      <c r="B34" t="str">
        <v>Preciosa</v>
      </c>
      <c r="C34" t="str">
        <v>Mbongo</v>
      </c>
      <c r="D34" t="str">
        <v>lindadelondres@hotmail.com</v>
      </c>
      <c r="E34">
        <v>447949890714</v>
      </c>
      <c r="F34" t="str">
        <v/>
      </c>
      <c r="G34" t="str">
        <v/>
      </c>
    </row>
    <row r="35">
      <c r="A35" t="str">
        <v>Brother</v>
      </c>
      <c r="B35" t="str">
        <v>Liam</v>
      </c>
      <c r="C35" t="str">
        <v>Mbongo</v>
      </c>
      <c r="D35" t="str">
        <v>lindadelondres@hotmail.com</v>
      </c>
      <c r="E35">
        <v>447949890714</v>
      </c>
      <c r="F35" t="str">
        <v/>
      </c>
      <c r="G35" t="str">
        <v/>
      </c>
    </row>
    <row r="36">
      <c r="A36" t="str">
        <v>Pastor</v>
      </c>
      <c r="B36" t="str">
        <v>SAMUEL CHINENYE</v>
      </c>
      <c r="C36" t="str">
        <v>OFOHA</v>
      </c>
      <c r="D36" t="str">
        <v>Sofoha@worcestershire.gov.uk</v>
      </c>
      <c r="E36">
        <v>447858687676</v>
      </c>
      <c r="F36" t="str">
        <v/>
      </c>
      <c r="G36" t="str">
        <v/>
      </c>
    </row>
    <row r="37">
      <c r="A37" t="str">
        <v>Sister</v>
      </c>
      <c r="B37" t="str">
        <v>Princess</v>
      </c>
      <c r="C37" t="str">
        <v>Unuarhemhen</v>
      </c>
      <c r="D37" t="str">
        <v>princessunuarhemhen@gmail.com</v>
      </c>
      <c r="E37">
        <v>447462096509</v>
      </c>
      <c r="F37" t="str">
        <v/>
      </c>
      <c r="G37" t="str">
        <v/>
      </c>
    </row>
    <row r="38">
      <c r="A38" t="str">
        <v>Sister</v>
      </c>
      <c r="B38" t="str">
        <v>Diva</v>
      </c>
      <c r="C38" t="str">
        <v>Mayemba</v>
      </c>
      <c r="D38" t="str">
        <v>divine.may@outlook.com</v>
      </c>
      <c r="E38">
        <v>447466856030</v>
      </c>
      <c r="F38" t="str">
        <v/>
      </c>
      <c r="G38" t="str">
        <v/>
      </c>
    </row>
    <row r="39">
      <c r="A39" t="str">
        <v>Deaconess</v>
      </c>
      <c r="B39" t="str">
        <v>Rosemary</v>
      </c>
      <c r="C39" t="str">
        <v>Ugorji</v>
      </c>
      <c r="D39" t="str">
        <v>Uur1000@gmail.com</v>
      </c>
      <c r="E39">
        <v>447931116777</v>
      </c>
      <c r="F39" t="str">
        <v/>
      </c>
      <c r="G39" t="str">
        <v/>
      </c>
    </row>
    <row r="40">
      <c r="A40" t="str">
        <v>Sister</v>
      </c>
      <c r="B40" t="str">
        <v>Elizabeth</v>
      </c>
      <c r="C40" t="str">
        <v>Olayinka</v>
      </c>
      <c r="D40" t="str">
        <v>KingOgbebor@yahoo.com</v>
      </c>
      <c r="E40">
        <v>447477875656</v>
      </c>
      <c r="F40" t="str">
        <v/>
      </c>
      <c r="G40" t="str">
        <v/>
      </c>
    </row>
    <row r="41">
      <c r="A41" t="str">
        <v>Deaconess</v>
      </c>
      <c r="B41" t="str">
        <v>Faith O</v>
      </c>
      <c r="C41" t="str">
        <v>Osazuwa</v>
      </c>
      <c r="D41" t="str">
        <v>fthosazuwa@yahoo.co.uk</v>
      </c>
      <c r="E41">
        <v>447804598960</v>
      </c>
      <c r="F41" t="str">
        <v/>
      </c>
      <c r="G41" t="str">
        <v/>
      </c>
    </row>
    <row r="42">
      <c r="A42" t="str">
        <v>Brother</v>
      </c>
      <c r="B42" t="str">
        <v>Faith</v>
      </c>
      <c r="C42" t="str">
        <v>Osazuwa</v>
      </c>
      <c r="D42" t="str">
        <v>fmosazuwa@yahoo.co.uk</v>
      </c>
      <c r="E42">
        <v>447305944550</v>
      </c>
      <c r="F42" t="str">
        <v/>
      </c>
      <c r="G42" t="str">
        <v/>
      </c>
    </row>
    <row r="43">
      <c r="A43" t="str">
        <v>Deaconess</v>
      </c>
      <c r="B43" t="str">
        <v>Mifi</v>
      </c>
      <c r="C43" t="str">
        <v>Ingende</v>
      </c>
      <c r="D43" t="str">
        <v>eden.kwesi@yahoo.co.uk</v>
      </c>
      <c r="E43">
        <v>447884939672</v>
      </c>
      <c r="F43" t="str">
        <v/>
      </c>
      <c r="G43" t="str">
        <v/>
      </c>
    </row>
    <row r="44">
      <c r="A44" t="str">
        <v>Brother</v>
      </c>
      <c r="B44" t="str">
        <v>Austin</v>
      </c>
      <c r="C44" t="str">
        <v>Baxter</v>
      </c>
      <c r="D44" t="str">
        <v>dorcas180701@gmail.com</v>
      </c>
      <c r="E44">
        <v>447435000419</v>
      </c>
      <c r="F44" t="str">
        <v/>
      </c>
      <c r="G44" t="str">
        <v/>
      </c>
    </row>
    <row r="45">
      <c r="A45" t="str">
        <v>Brother</v>
      </c>
      <c r="B45" t="str">
        <v>Robert</v>
      </c>
      <c r="C45" t="str">
        <v>Baxter</v>
      </c>
      <c r="D45" t="str">
        <v>dorcas180701@gmail.com</v>
      </c>
      <c r="E45">
        <v>447434326058</v>
      </c>
      <c r="F45" t="str">
        <v/>
      </c>
      <c r="G45" t="str">
        <v/>
      </c>
    </row>
    <row r="46">
      <c r="A46" t="str">
        <v>Sister</v>
      </c>
      <c r="B46" t="str">
        <v>Veronica</v>
      </c>
      <c r="C46" t="str">
        <v>Baxter</v>
      </c>
      <c r="D46" t="str">
        <v>dorcas180701@gmail.com</v>
      </c>
      <c r="E46">
        <v>447434326058</v>
      </c>
      <c r="F46" t="str">
        <v/>
      </c>
      <c r="G46" t="str">
        <v/>
      </c>
    </row>
    <row r="47">
      <c r="A47" t="str">
        <v>Sister</v>
      </c>
      <c r="B47" t="str">
        <v>Fidelia</v>
      </c>
      <c r="C47" t="str">
        <v>OMOROSE</v>
      </c>
      <c r="D47" t="str">
        <v>Fideliaomorose@yahoo.co.uk</v>
      </c>
      <c r="E47">
        <v>447472125686</v>
      </c>
      <c r="F47" t="str">
        <v/>
      </c>
      <c r="G47" t="str">
        <v/>
      </c>
    </row>
    <row r="48">
      <c r="A48" t="str">
        <v>Deaconess</v>
      </c>
      <c r="B48" t="str">
        <v>Modupe</v>
      </c>
      <c r="C48" t="str">
        <v>Ajayi</v>
      </c>
      <c r="D48" t="str">
        <v>modu25@googlemail.com</v>
      </c>
      <c r="E48">
        <v>447878229748</v>
      </c>
      <c r="F48" t="str">
        <v/>
      </c>
      <c r="G48" t="str">
        <v/>
      </c>
    </row>
    <row r="49">
      <c r="A49" t="str">
        <v>Deaconess</v>
      </c>
      <c r="B49" t="str">
        <v>Janet</v>
      </c>
      <c r="C49" t="str">
        <v>Lamwaka</v>
      </c>
      <c r="D49" t="str">
        <v>janetmubsz@yahoo.com</v>
      </c>
      <c r="E49">
        <v>353867256737</v>
      </c>
      <c r="F49" t="str">
        <v/>
      </c>
      <c r="G49" t="str">
        <v/>
      </c>
    </row>
    <row r="50">
      <c r="A50" t="str">
        <v>Sister</v>
      </c>
      <c r="B50" t="str">
        <v>Chloe Divine</v>
      </c>
      <c r="C50" t="str">
        <v>Ayeerwot</v>
      </c>
      <c r="D50" t="str">
        <v>chloediva940@gmail</v>
      </c>
      <c r="E50">
        <v>353896040936</v>
      </c>
      <c r="F50" t="str">
        <v/>
      </c>
      <c r="G50" t="str">
        <v/>
      </c>
    </row>
    <row r="51">
      <c r="A51" t="str">
        <v>Pastor</v>
      </c>
      <c r="B51" t="str">
        <v>Kartar</v>
      </c>
      <c r="C51" t="str">
        <v>Singh</v>
      </c>
      <c r="D51" t="str">
        <v>kartarsammy@yahoo.com</v>
      </c>
      <c r="E51">
        <v>919888041297</v>
      </c>
      <c r="F51" t="str">
        <v/>
      </c>
      <c r="G51" t="str">
        <v/>
      </c>
    </row>
    <row r="52">
      <c r="A52" t="str">
        <v>Brother</v>
      </c>
      <c r="B52" t="str">
        <v>Sherwood</v>
      </c>
      <c r="C52" t="str">
        <v>Asoro</v>
      </c>
      <c r="D52" t="str">
        <v>Kingogbebor@yahoo.com</v>
      </c>
      <c r="E52">
        <v>4915758230533</v>
      </c>
      <c r="F52" t="str">
        <v/>
      </c>
      <c r="G52" t="str">
        <v/>
      </c>
    </row>
    <row r="53">
      <c r="A53" t="str">
        <v>Sister</v>
      </c>
      <c r="B53" t="str">
        <v>Sharon</v>
      </c>
      <c r="C53" t="str">
        <v>Asoro</v>
      </c>
      <c r="D53" t="str">
        <v>KingOgbebor@yahoo.com</v>
      </c>
      <c r="E53">
        <v>4917645295227</v>
      </c>
      <c r="F53" t="str">
        <v/>
      </c>
      <c r="G53" t="str">
        <v/>
      </c>
    </row>
    <row r="54">
      <c r="A54" t="str">
        <v>Pastor</v>
      </c>
      <c r="B54" t="str">
        <v>Telesphore</v>
      </c>
      <c r="C54" t="str">
        <v>Bilé</v>
      </c>
      <c r="D54" t="str">
        <v>ecoengineeringsarl@gmail.com</v>
      </c>
      <c r="E54">
        <v>2250787189313</v>
      </c>
      <c r="F54" t="str">
        <v/>
      </c>
      <c r="G54" t="str">
        <v/>
      </c>
    </row>
    <row r="55">
      <c r="A55" t="str">
        <v>Pastor</v>
      </c>
      <c r="B55" t="str">
        <v>Claudette</v>
      </c>
      <c r="C55" t="str">
        <v>Bilé</v>
      </c>
      <c r="D55" t="str">
        <v>ecoengineeringsarl@gmail.com</v>
      </c>
      <c r="E55">
        <v>2250798496930</v>
      </c>
      <c r="F55" t="str">
        <v/>
      </c>
      <c r="G55" t="str">
        <v/>
      </c>
    </row>
    <row r="56">
      <c r="A56" t="str">
        <v>Deaconess</v>
      </c>
      <c r="B56" t="str">
        <v>Abimbola</v>
      </c>
      <c r="C56" t="str">
        <v>Owoeye-Wise</v>
      </c>
      <c r="D56" t="str">
        <v>wisebunch2002@yahoo.com</v>
      </c>
      <c r="E56">
        <v>353899629735</v>
      </c>
      <c r="F56" t="str">
        <v/>
      </c>
      <c r="G56" t="str">
        <v/>
      </c>
    </row>
    <row r="57">
      <c r="A57" t="str">
        <v>Pastor</v>
      </c>
      <c r="B57" t="str">
        <v>Kola</v>
      </c>
      <c r="C57" t="str">
        <v>OGUNTUASE</v>
      </c>
      <c r="D57" t="str">
        <v>kolaoguntuase@yahoo.com</v>
      </c>
      <c r="E57">
        <v>353879165902</v>
      </c>
      <c r="F57" t="str">
        <v/>
      </c>
      <c r="G57" t="str">
        <v/>
      </c>
    </row>
    <row r="58">
      <c r="A58" t="str">
        <v>Brother</v>
      </c>
      <c r="B58" t="str">
        <v>James</v>
      </c>
      <c r="C58" t="str">
        <v>OGUNTUASE</v>
      </c>
      <c r="D58" t="str">
        <v>kolaoguntuase@yahoo.com</v>
      </c>
      <c r="E58">
        <v>353879165902</v>
      </c>
      <c r="F58" t="str">
        <v/>
      </c>
      <c r="G58" t="str">
        <v/>
      </c>
    </row>
    <row r="59">
      <c r="A59" t="str">
        <v>Sister</v>
      </c>
      <c r="B59" t="str">
        <v>Gbemi</v>
      </c>
      <c r="C59" t="str">
        <v>Ajayi</v>
      </c>
      <c r="D59" t="str">
        <v>bemille39@yahoo.co.uk</v>
      </c>
      <c r="E59">
        <v>447846432978</v>
      </c>
      <c r="F59" t="str">
        <v/>
      </c>
      <c r="G59" t="str">
        <v/>
      </c>
    </row>
    <row r="60">
      <c r="A60" t="str">
        <v>Sister</v>
      </c>
      <c r="B60" t="str">
        <v>Elizabeth</v>
      </c>
      <c r="C60" t="str">
        <v>Wise</v>
      </c>
      <c r="D60" t="str">
        <v>elizabeth.wise86@gmail.com</v>
      </c>
      <c r="E60">
        <v>447908764019</v>
      </c>
      <c r="F60" t="str">
        <v/>
      </c>
      <c r="G60" t="str">
        <v/>
      </c>
    </row>
    <row r="61">
      <c r="A61" t="str">
        <v>Human</v>
      </c>
      <c r="B61" t="str">
        <v>Emmanuel</v>
      </c>
      <c r="C61" t="str">
        <v>…</v>
      </c>
      <c r="D61" t="str">
        <v>Tonadeemmaul@gmail.com</v>
      </c>
      <c r="E61">
        <v>353852696738</v>
      </c>
      <c r="F61" t="str">
        <v/>
      </c>
      <c r="G61" t="str">
        <v/>
      </c>
    </row>
  </sheetData>
  <ignoredErrors>
    <ignoredError numberStoredAsText="1" sqref="A1:G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2"/>
  <sheetViews>
    <sheetView workbookViewId="0" rightToLeft="0"/>
  </sheetViews>
  <sheetData>
    <row r="1">
      <c r="A1" t="str">
        <v>Title</v>
      </c>
    </row>
    <row r="3">
      <c r="B3" t="str">
        <v>Apostle</v>
      </c>
      <c r="C3" t="str">
        <v>Reverend</v>
      </c>
      <c r="D3" t="str">
        <v>Pastor</v>
      </c>
      <c r="E3" t="str">
        <v>Evangelist</v>
      </c>
      <c r="F3" t="str">
        <v>Prophet</v>
      </c>
      <c r="G3" t="str">
        <v>Elder</v>
      </c>
      <c r="H3" t="str">
        <v>Deacon</v>
      </c>
      <c r="I3" t="str">
        <v>Deaconess</v>
      </c>
      <c r="J3" t="str">
        <v>Sister</v>
      </c>
      <c r="K3" t="str">
        <v>Brother</v>
      </c>
      <c r="L3" t="str">
        <v>Other (please specify)</v>
      </c>
    </row>
    <row r="4">
      <c r="A4" t="str">
        <v>Title</v>
      </c>
      <c r="B4">
        <f>COUNTIF('All Data'!A2:A62,"Apostle")</f>
        <v>0</v>
      </c>
      <c r="C4">
        <f>COUNTIF('All Data'!A2:A62,"Reverend")</f>
        <v>0</v>
      </c>
      <c r="D4">
        <f>COUNTIF('All Data'!A2:A62,"Pastor")</f>
        <v>14</v>
      </c>
      <c r="E4">
        <f>COUNTIF('All Data'!A2:A62,"Evangelist")</f>
        <v>0</v>
      </c>
      <c r="F4">
        <f>COUNTIF('All Data'!A2:A62,"Prophet")</f>
        <v>0</v>
      </c>
      <c r="G4">
        <f>COUNTIF('All Data'!A2:A62,"Elder")</f>
        <v>1</v>
      </c>
      <c r="H4">
        <f>COUNTIF('All Data'!A2:A62,"Deacon")</f>
        <v>0</v>
      </c>
      <c r="I4">
        <f>COUNTIF('All Data'!A2:A62,"Deaconess")</f>
        <v>16</v>
      </c>
      <c r="J4">
        <f>COUNTIF('All Data'!A2:A62,"Sister")</f>
        <v>17</v>
      </c>
      <c r="K4">
        <f>COUNTIF('All Data'!A2:A62,"Brother")</f>
        <v>11</v>
      </c>
      <c r="L4">
        <f>COUNTIF('All Data'!A2:A62,"Other (please specify)")</f>
        <v>0</v>
      </c>
    </row>
    <row r="8" xml:space="preserve">
      <c r="A8" t="str" xml:space="preserve">
        <v xml:space="preserve">What dates are you attending the Convention? - Please select all that apply_x000d_
</v>
      </c>
    </row>
    <row r="10">
      <c r="B10" t="str">
        <v>Mon 23 Feb</v>
      </c>
      <c r="C10" t="str">
        <v>Tue 24 Feb</v>
      </c>
      <c r="D10" t="str">
        <v>Wed 25 Feb</v>
      </c>
      <c r="E10" t="str">
        <v>Thu 26 Feb</v>
      </c>
      <c r="F10" t="str">
        <v>Fri 27 Feb</v>
      </c>
      <c r="G10" t="str">
        <v>Sat 28 Feb</v>
      </c>
      <c r="H10" t="str">
        <v>Sun 01 Mar</v>
      </c>
    </row>
    <row r="11">
      <c r="B11" t="e">
        <f>COUNTIF('All Data'!#REF!,"X")</f>
        <v>#REF!</v>
      </c>
      <c r="C11" t="e">
        <f>COUNTIF('All Data'!#REF!,"X")</f>
        <v>#REF!</v>
      </c>
      <c r="D11" t="e">
        <f>COUNTIF('All Data'!#REF!,"X")</f>
        <v>#REF!</v>
      </c>
      <c r="E11" t="e">
        <f>COUNTIF('All Data'!#REF!,"X")</f>
        <v>#REF!</v>
      </c>
      <c r="F11" t="e">
        <f>COUNTIF('All Data'!#REF!,"X")</f>
        <v>#REF!</v>
      </c>
      <c r="G11" t="e">
        <f>COUNTIF('All Data'!#REF!,"X")</f>
        <v>#REF!</v>
      </c>
      <c r="H11" t="e">
        <f>COUNTIF('All Data'!#REF!,"X")</f>
        <v>#REF!</v>
      </c>
    </row>
    <row r="15">
      <c r="A15" t="str">
        <v>Please let us know if you are a Residential or Day Delegate (Read the note!)</v>
      </c>
    </row>
    <row r="17">
      <c r="B17" t="str">
        <v>Residential</v>
      </c>
      <c r="C17" t="str">
        <v>Day</v>
      </c>
    </row>
    <row r="18">
      <c r="A18" t="str">
        <v>Please let us know if you are a Residential or Day Delegate (Read the note!)</v>
      </c>
      <c r="B18" t="e">
        <f>COUNTIF('All Data'!#REF!,"Residential")</f>
        <v>#REF!</v>
      </c>
      <c r="C18" t="e">
        <f>COUNTIF('All Data'!#REF!,"Day")</f>
        <v>#REF!</v>
      </c>
    </row>
    <row r="22">
      <c r="A22" t="str">
        <v>Where will you stay?</v>
      </c>
    </row>
    <row r="24">
      <c r="B24" t="str">
        <v>Travelodge</v>
      </c>
      <c r="C24" t="str">
        <v>Premier Inn</v>
      </c>
      <c r="D24" t="str">
        <v>Friend or Family</v>
      </c>
      <c r="E24" t="str">
        <v>Private Accommodation</v>
      </c>
    </row>
    <row r="25">
      <c r="A25" t="str">
        <v>Where will you stay?</v>
      </c>
      <c r="B25" t="e">
        <f>COUNTIF('All Data'!#REF!,"Travelodge")</f>
        <v>#REF!</v>
      </c>
      <c r="C25" t="e">
        <f>COUNTIF('All Data'!#REF!,"Premier Inn")</f>
        <v>#REF!</v>
      </c>
      <c r="D25" t="e">
        <f>COUNTIF('All Data'!#REF!,"Friend or Family")</f>
        <v>#REF!</v>
      </c>
      <c r="E25" t="e">
        <f>COUNTIF('All Data'!#REF!,"Private Accommodation")</f>
        <v>#REF!</v>
      </c>
    </row>
    <row r="29">
      <c r="A29" t="str">
        <v>Are you a member of Christ Faith Tabernacle?</v>
      </c>
    </row>
    <row r="31">
      <c r="B31" t="str">
        <v>Yes</v>
      </c>
      <c r="C31" t="str">
        <v>No</v>
      </c>
    </row>
    <row r="32">
      <c r="A32" t="str">
        <v>Are you a member of Christ Faith Tabernacle?</v>
      </c>
      <c r="B32" t="e">
        <f>COUNTIF('All Data'!#REF!,"Yes")</f>
        <v>#REF!</v>
      </c>
      <c r="C32" t="e">
        <f>COUNTIF('All Data'!#REF!,"No")</f>
        <v>#REF!</v>
      </c>
    </row>
    <row r="36">
      <c r="A36" t="str">
        <v>Please select your Church from the list</v>
      </c>
    </row>
    <row r="38">
      <c r="B38" t="str">
        <v>El-Shaddai</v>
      </c>
      <c r="C38" t="str">
        <v>ECM</v>
      </c>
      <c r="D38" t="str">
        <v>HOTRIC</v>
      </c>
      <c r="E38" t="str">
        <v>New Life Worship Centre</v>
      </c>
      <c r="F38" t="str">
        <v>CTRM</v>
      </c>
      <c r="G38" t="str">
        <v>Dominion Gospel Church</v>
      </c>
      <c r="H38" t="str">
        <v>Heart of God Ministry</v>
      </c>
      <c r="I38" t="str">
        <v>TNLCM</v>
      </c>
      <c r="J38" t="str">
        <v>Powervine Ministries</v>
      </c>
      <c r="K38" t="str">
        <v>Kingdom Arena</v>
      </c>
      <c r="L38" t="str">
        <v>Dayspring Chapel</v>
      </c>
      <c r="M38" t="str">
        <v>Church on The Rock</v>
      </c>
      <c r="N38" t="str">
        <v>TAGCC</v>
      </c>
      <c r="O38" t="str">
        <v>Other (Please Specify)</v>
      </c>
    </row>
    <row r="39">
      <c r="A39" t="str">
        <v>Please select your Church from the list</v>
      </c>
      <c r="B39" t="e">
        <f>COUNTIF('All Data'!#REF!,"El-Shaddai")</f>
        <v>#REF!</v>
      </c>
      <c r="C39" t="e">
        <f>COUNTIF('All Data'!#REF!,"ECM")</f>
        <v>#REF!</v>
      </c>
      <c r="D39" t="e">
        <f>COUNTIF('All Data'!#REF!,"HOTRIC")</f>
        <v>#REF!</v>
      </c>
      <c r="E39" t="e">
        <f>COUNTIF('All Data'!#REF!,"New Life Worship Centre")</f>
        <v>#REF!</v>
      </c>
      <c r="F39" t="e">
        <f>COUNTIF('All Data'!#REF!,"CTRM")</f>
        <v>#REF!</v>
      </c>
      <c r="G39" t="e">
        <f>COUNTIF('All Data'!#REF!,"Dominion Gospel Church")</f>
        <v>#REF!</v>
      </c>
      <c r="H39" t="e">
        <f>COUNTIF('All Data'!#REF!,"Heart of God Ministry")</f>
        <v>#REF!</v>
      </c>
      <c r="I39" t="e">
        <f>COUNTIF('All Data'!#REF!,"TNLCM")</f>
        <v>#REF!</v>
      </c>
      <c r="J39" t="e">
        <f>COUNTIF('All Data'!#REF!,"Powervine Ministries")</f>
        <v>#REF!</v>
      </c>
      <c r="K39" t="e">
        <f>COUNTIF('All Data'!#REF!,"Kingdom Arena")</f>
        <v>#REF!</v>
      </c>
      <c r="L39" t="e">
        <f>COUNTIF('All Data'!#REF!,"Dayspring Chapel")</f>
        <v>#REF!</v>
      </c>
      <c r="M39" t="e">
        <f>COUNTIF('All Data'!#REF!,"Church on The Rock")</f>
        <v>#REF!</v>
      </c>
      <c r="N39" t="e">
        <f>COUNTIF('All Data'!#REF!,"TAGCC")</f>
        <v>#REF!</v>
      </c>
      <c r="O39" t="e">
        <f>COUNTIF('All Data'!#REF!,"Other (Please Specify)")</f>
        <v>#REF!</v>
      </c>
    </row>
    <row r="43">
      <c r="A43" t="str">
        <v>Are you required to have a Visa to travel to the UK?</v>
      </c>
    </row>
    <row r="45">
      <c r="B45" t="str">
        <v>Yes</v>
      </c>
      <c r="C45" t="str">
        <v>No</v>
      </c>
    </row>
    <row r="46">
      <c r="A46" t="str">
        <v>Are you required to have a Visa to travel to the UK?</v>
      </c>
      <c r="B46" t="e">
        <f>COUNTIF('All Data'!#REF!,"Yes")</f>
        <v>#REF!</v>
      </c>
      <c r="C46" t="e">
        <f>COUNTIF('All Data'!#REF!,"No")</f>
        <v>#REF!</v>
      </c>
    </row>
    <row r="50">
      <c r="A50" t="str">
        <v>Is your branch outside United Kingdom?</v>
      </c>
    </row>
    <row r="52">
      <c r="B52" t="str">
        <v>Yes</v>
      </c>
      <c r="C52" t="str">
        <v>No</v>
      </c>
    </row>
    <row r="53">
      <c r="A53" t="str">
        <v>Is your branch outside United Kingdom?</v>
      </c>
      <c r="B53" t="e">
        <f>COUNTIF('All Data'!#REF!,"Yes")</f>
        <v>#REF!</v>
      </c>
      <c r="C53" t="e">
        <f>COUNTIF('All Data'!#REF!,"No")</f>
        <v>#REF!</v>
      </c>
    </row>
    <row r="57">
      <c r="A57" t="str">
        <v>Please select your branch from the list</v>
      </c>
    </row>
    <row r="59">
      <c r="B59" t="str">
        <v>Nigeria - Abuja</v>
      </c>
      <c r="C59" t="str">
        <v>Nigeria - Akute</v>
      </c>
      <c r="D59" t="str">
        <v>Nigeria - Lagos</v>
      </c>
      <c r="E59" t="str">
        <v>Nigeria - Ogere</v>
      </c>
      <c r="F59" t="str">
        <v>Benin - Pobe</v>
      </c>
      <c r="G59" t="str">
        <v>Germany - Berlin</v>
      </c>
      <c r="H59" t="str">
        <v>Ireland - Dublin</v>
      </c>
      <c r="I59" t="str">
        <v>Ireland - Ennis</v>
      </c>
      <c r="J59" t="str">
        <v>Ireland - Limerick</v>
      </c>
      <c r="K59" t="str">
        <v>Ivory Coast</v>
      </c>
      <c r="L59" t="str">
        <v>India</v>
      </c>
      <c r="M59" t="str">
        <v>Sweden</v>
      </c>
      <c r="N59" t="str">
        <v>United States</v>
      </c>
      <c r="O59" t="str">
        <v>Canada</v>
      </c>
      <c r="P59" t="str">
        <v>Other (Please Specify)</v>
      </c>
    </row>
    <row r="60">
      <c r="A60" t="str">
        <v>Please select your branch from the list</v>
      </c>
      <c r="B60" t="e">
        <f>COUNTIF('All Data'!#REF!,"Nigeria - Abuja")</f>
        <v>#REF!</v>
      </c>
      <c r="C60" t="e">
        <f>COUNTIF('All Data'!#REF!,"Nigeria - Akute")</f>
        <v>#REF!</v>
      </c>
      <c r="D60" t="e">
        <f>COUNTIF('All Data'!#REF!,"Nigeria - Lagos")</f>
        <v>#REF!</v>
      </c>
      <c r="E60" t="e">
        <f>COUNTIF('All Data'!#REF!,"Nigeria - Ogere")</f>
        <v>#REF!</v>
      </c>
      <c r="F60" t="e">
        <f>COUNTIF('All Data'!#REF!,"Benin - Pobe")</f>
        <v>#REF!</v>
      </c>
      <c r="G60" t="e">
        <f>COUNTIF('All Data'!#REF!,"Germany - Berlin")</f>
        <v>#REF!</v>
      </c>
      <c r="H60" t="e">
        <f>COUNTIF('All Data'!#REF!,"Ireland - Dublin")</f>
        <v>#REF!</v>
      </c>
      <c r="I60" t="e">
        <f>COUNTIF('All Data'!#REF!,"Ireland - Ennis")</f>
        <v>#REF!</v>
      </c>
      <c r="J60" t="e">
        <f>COUNTIF('All Data'!#REF!,"Ireland - Limerick")</f>
        <v>#REF!</v>
      </c>
      <c r="K60" t="e">
        <f>COUNTIF('All Data'!#REF!,"Ivory Coast")</f>
        <v>#REF!</v>
      </c>
      <c r="L60" t="e">
        <f>COUNTIF('All Data'!#REF!,"India")</f>
        <v>#REF!</v>
      </c>
      <c r="M60" t="e">
        <f>COUNTIF('All Data'!#REF!,"Sweden")</f>
        <v>#REF!</v>
      </c>
      <c r="N60" t="e">
        <f>COUNTIF('All Data'!#REF!,"United States")</f>
        <v>#REF!</v>
      </c>
      <c r="O60" t="e">
        <f>COUNTIF('All Data'!#REF!,"Canada")</f>
        <v>#REF!</v>
      </c>
      <c r="P60" t="e">
        <f>COUNTIF('All Data'!#REF!,"Other (Please Specify)")</f>
        <v>#REF!</v>
      </c>
    </row>
    <row r="64">
      <c r="A64" t="str">
        <v>ARRIVAL - Date and Time</v>
      </c>
    </row>
    <row r="67">
      <c r="A67" t="str">
        <v>Date</v>
      </c>
    </row>
    <row r="71">
      <c r="A71" t="str">
        <v>DEPARTURE - Date and Time</v>
      </c>
    </row>
    <row r="74">
      <c r="A74" t="str">
        <v>Date</v>
      </c>
    </row>
    <row r="78">
      <c r="A78" t="str">
        <v>Are you required to have a Visa to travel to the UK?</v>
      </c>
    </row>
    <row r="80">
      <c r="B80" t="str">
        <v>Yes</v>
      </c>
      <c r="C80" t="str">
        <v>No</v>
      </c>
    </row>
    <row r="81">
      <c r="A81" t="str">
        <v>Are you required to have a Visa to travel to the UK?</v>
      </c>
      <c r="B81" t="e">
        <f>COUNTIF('All Data'!#REF!,"Yes")</f>
        <v>#REF!</v>
      </c>
      <c r="C81" t="e">
        <f>COUNTIF('All Data'!#REF!,"No")</f>
        <v>#REF!</v>
      </c>
    </row>
    <row r="85">
      <c r="A85" t="str">
        <v>Have you applied for your Visa?</v>
      </c>
    </row>
    <row r="87">
      <c r="B87" t="str">
        <v>Yes</v>
      </c>
      <c r="C87" t="str">
        <v>No</v>
      </c>
    </row>
    <row r="88">
      <c r="A88" t="str">
        <v>Have you applied for your Visa?</v>
      </c>
      <c r="B88" t="e">
        <f>COUNTIF('All Data'!#REF!,"Yes")</f>
        <v>#REF!</v>
      </c>
      <c r="C88" t="e">
        <f>COUNTIF('All Data'!#REF!,"No")</f>
        <v>#REF!</v>
      </c>
    </row>
    <row r="92">
      <c r="A92" t="str">
        <v>Please let us know the outcome date</v>
      </c>
    </row>
    <row r="95">
      <c r="A95" t="str">
        <v>Date</v>
      </c>
    </row>
    <row r="99">
      <c r="A99" t="str">
        <v>Please select your branch in the UK</v>
      </c>
    </row>
    <row r="101">
      <c r="B101" t="str">
        <v>Birmingham</v>
      </c>
      <c r="C101" t="str">
        <v>Bristol</v>
      </c>
      <c r="D101" t="str">
        <v>London (Woolwich)</v>
      </c>
      <c r="E101" t="str">
        <v>London (New Cross)</v>
      </c>
    </row>
    <row r="102">
      <c r="A102" t="str">
        <v>Please select your branch in the UK</v>
      </c>
      <c r="B102" t="e">
        <f>COUNTIF('All Data'!#REF!,"Birmingham")</f>
        <v>#REF!</v>
      </c>
      <c r="C102" t="e">
        <f>COUNTIF('All Data'!#REF!,"Bristol")</f>
        <v>#REF!</v>
      </c>
      <c r="D102" t="e">
        <f>COUNTIF('All Data'!#REF!,"London (Woolwich)")</f>
        <v>#REF!</v>
      </c>
      <c r="E102" t="e">
        <f>COUNTIF('All Data'!#REF!,"London (New Cross)")</f>
        <v>#REF!</v>
      </c>
    </row>
  </sheetData>
  <pageMargins left="0.7" right="0.7" top="0.75" bottom="0.75" header="0.3" footer="0.3"/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2026-02-22T16:10:18Z</dcterms:created>
  <dcterms:modified xsi:type="dcterms:W3CDTF">2026-02-23T00:24:51Z</dcterms:modified>
  <cp:lastModifiedBy>Oje Egwaoje</cp:lastModifiedBy>
  <dc:creator>Oje Egwaoje</dc:creator>
</cp:coreProperties>
</file>